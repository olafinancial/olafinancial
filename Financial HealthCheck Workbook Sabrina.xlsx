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5d354e91db72f5/Desktop/"/>
    </mc:Choice>
  </mc:AlternateContent>
  <xr:revisionPtr revIDLastSave="0" documentId="8_{2C4D011A-0B4C-4A1E-B8AF-22AB27BE0BD1}" xr6:coauthVersionLast="47" xr6:coauthVersionMax="47" xr10:uidLastSave="{00000000-0000-0000-0000-000000000000}"/>
  <bookViews>
    <workbookView xWindow="-110" yWindow="-110" windowWidth="27580" windowHeight="17740" xr2:uid="{17DA1464-FDDC-4FAF-86B0-FDE10378F1FE}"/>
  </bookViews>
  <sheets>
    <sheet name="CASHFLOW BUDGET 3" sheetId="1" r:id="rId1"/>
    <sheet name="Cashflow balance sheet 4" sheetId="2" r:id="rId2"/>
    <sheet name="goals sheet 1" sheetId="4" r:id="rId3"/>
    <sheet name="Personal Cashflow5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8" i="1"/>
  <c r="B15" i="1"/>
  <c r="L6" i="2" l="1"/>
  <c r="L7" i="2"/>
  <c r="L8" i="2"/>
  <c r="L9" i="2"/>
  <c r="L10" i="2"/>
  <c r="L11" i="2"/>
  <c r="L12" i="2"/>
  <c r="L13" i="2"/>
  <c r="L14" i="2"/>
  <c r="L5" i="2"/>
  <c r="F6" i="2"/>
  <c r="F7" i="2"/>
  <c r="F8" i="2"/>
  <c r="F9" i="2"/>
  <c r="F10" i="2"/>
  <c r="F11" i="2"/>
  <c r="F12" i="2"/>
  <c r="F13" i="2"/>
  <c r="F14" i="2"/>
  <c r="F5" i="2"/>
  <c r="B8" i="4"/>
  <c r="D8" i="4" s="1"/>
  <c r="J26" i="2" l="1"/>
  <c r="K26" i="2"/>
  <c r="I26" i="2"/>
  <c r="J15" i="2"/>
  <c r="K15" i="2"/>
  <c r="I15" i="2"/>
  <c r="D26" i="2"/>
  <c r="E26" i="2"/>
  <c r="C26" i="2"/>
  <c r="D15" i="2"/>
  <c r="E15" i="2"/>
  <c r="C15" i="2"/>
  <c r="I33" i="1"/>
  <c r="I27" i="1"/>
  <c r="I21" i="1"/>
  <c r="I16" i="1"/>
  <c r="I8" i="1"/>
  <c r="F59" i="1"/>
  <c r="F54" i="1"/>
  <c r="F50" i="1"/>
  <c r="F43" i="1"/>
  <c r="F36" i="1"/>
  <c r="F28" i="1"/>
  <c r="F23" i="1"/>
  <c r="F13" i="1"/>
  <c r="B23" i="1"/>
  <c r="B4" i="3" s="1"/>
  <c r="B7" i="1"/>
  <c r="L15" i="2" l="1"/>
  <c r="F26" i="2"/>
  <c r="F15" i="2"/>
  <c r="I68" i="1"/>
  <c r="F61" i="1"/>
  <c r="F64" i="1" s="1"/>
  <c r="L26" i="2"/>
  <c r="B16" i="1"/>
  <c r="C29" i="2" l="1"/>
  <c r="C31" i="2"/>
  <c r="C28" i="2"/>
  <c r="F66" i="1"/>
  <c r="E3" i="3" s="1"/>
  <c r="B25" i="1"/>
  <c r="B3" i="3"/>
  <c r="C30" i="2" l="1"/>
  <c r="C34" i="1"/>
  <c r="B5" i="3"/>
  <c r="F3" i="3" s="1"/>
  <c r="C30" i="1"/>
  <c r="C31" i="1"/>
  <c r="C32" i="1"/>
  <c r="C33" i="1"/>
  <c r="E5" i="3" s="1"/>
  <c r="C29" i="1"/>
  <c r="F68" i="1"/>
  <c r="F63" i="1"/>
  <c r="F5" i="3" l="1"/>
  <c r="C28" i="1"/>
  <c r="E4" i="3" s="1"/>
  <c r="F4" i="3" s="1"/>
  <c r="C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LAGOS-SOUTH</author>
  </authors>
  <commentList>
    <comment ref="B13" authorId="0" shapeId="0" xr:uid="{715FE16F-54D8-43EA-A6EA-02A09E8790D4}">
      <text>
        <r>
          <rPr>
            <b/>
            <sz val="9"/>
            <color indexed="81"/>
            <rFont val="Tahoma"/>
            <family val="2"/>
          </rPr>
          <t>LAGOS-SOUTH:</t>
        </r>
        <r>
          <rPr>
            <sz val="9"/>
            <color indexed="81"/>
            <rFont val="Tahoma"/>
            <family val="2"/>
          </rPr>
          <t xml:space="preserve">
Present Value of Target sum to be invested today</t>
        </r>
      </text>
    </comment>
  </commentList>
</comments>
</file>

<file path=xl/sharedStrings.xml><?xml version="1.0" encoding="utf-8"?>
<sst xmlns="http://schemas.openxmlformats.org/spreadsheetml/2006/main" count="190" uniqueCount="169">
  <si>
    <t>Income</t>
  </si>
  <si>
    <t>Salary</t>
  </si>
  <si>
    <t>Gross Active Income</t>
  </si>
  <si>
    <t>Dividends</t>
  </si>
  <si>
    <t>Rent</t>
  </si>
  <si>
    <t>Annuities</t>
  </si>
  <si>
    <t>Other Income</t>
  </si>
  <si>
    <t>Gross Passive Income</t>
  </si>
  <si>
    <t>Net Income</t>
  </si>
  <si>
    <t xml:space="preserve">Active Income </t>
  </si>
  <si>
    <t xml:space="preserve">Passive Income </t>
  </si>
  <si>
    <t>EXPENSES</t>
  </si>
  <si>
    <t>NON-DISCRETIONARY EXPENSES</t>
  </si>
  <si>
    <t>FOOD</t>
  </si>
  <si>
    <t>Eating Out</t>
  </si>
  <si>
    <t>Housing</t>
  </si>
  <si>
    <t>Rent/Mortgage</t>
  </si>
  <si>
    <t>Power Supply</t>
  </si>
  <si>
    <t>Water</t>
  </si>
  <si>
    <t>Waste</t>
  </si>
  <si>
    <t>State Taxes</t>
  </si>
  <si>
    <t xml:space="preserve">Federal Taxes </t>
  </si>
  <si>
    <t>Education</t>
  </si>
  <si>
    <t>Children School Fees</t>
  </si>
  <si>
    <t xml:space="preserve">Tuition </t>
  </si>
  <si>
    <t>TX TO EMERGENCY FUND</t>
  </si>
  <si>
    <t>Transportation</t>
  </si>
  <si>
    <t>Auto Fuel</t>
  </si>
  <si>
    <t>Auto Maintainance</t>
  </si>
  <si>
    <t>Auto Licenses &amp; Taxes</t>
  </si>
  <si>
    <t>Taxi</t>
  </si>
  <si>
    <t>Interest Cost</t>
  </si>
  <si>
    <t xml:space="preserve">Commerical Loans Reayments </t>
  </si>
  <si>
    <t>Staff Loans repayments</t>
  </si>
  <si>
    <t>Credit cards Repayments</t>
  </si>
  <si>
    <t>Other Interest payments</t>
  </si>
  <si>
    <t>Auto Insurance</t>
  </si>
  <si>
    <t>Health Insurance</t>
  </si>
  <si>
    <t>Home Insurance</t>
  </si>
  <si>
    <t>Life Insurance</t>
  </si>
  <si>
    <t>Lifestyle Protection Investment</t>
  </si>
  <si>
    <t>Household staff salaries</t>
  </si>
  <si>
    <t>DISCRETIONARY EXPENSES</t>
  </si>
  <si>
    <t>Food</t>
  </si>
  <si>
    <t>Dinning Out</t>
  </si>
  <si>
    <t>Subscriptions</t>
  </si>
  <si>
    <t>Cable</t>
  </si>
  <si>
    <t>Casual eating</t>
  </si>
  <si>
    <t>Club &amp; Gym Membership</t>
  </si>
  <si>
    <t>WiFi</t>
  </si>
  <si>
    <t>Communication</t>
  </si>
  <si>
    <t>Phone Bill</t>
  </si>
  <si>
    <t>Child Support</t>
  </si>
  <si>
    <t>Family Support</t>
  </si>
  <si>
    <t>Child Care</t>
  </si>
  <si>
    <t>Dependent Support</t>
  </si>
  <si>
    <t>Chlothing/Jewlery</t>
  </si>
  <si>
    <t>Shopping</t>
  </si>
  <si>
    <t>Households</t>
  </si>
  <si>
    <t>Entertainment</t>
  </si>
  <si>
    <t>Movie, Concerts social events</t>
  </si>
  <si>
    <t>Holidays and travels</t>
  </si>
  <si>
    <t>State Income Tax</t>
  </si>
  <si>
    <t>Pension</t>
  </si>
  <si>
    <t>Other</t>
  </si>
  <si>
    <t>Federal Income Tax</t>
  </si>
  <si>
    <t>Total Deductions</t>
  </si>
  <si>
    <t>Net Active Income</t>
  </si>
  <si>
    <t>Gifts and Charity</t>
  </si>
  <si>
    <t xml:space="preserve">Groceries </t>
  </si>
  <si>
    <t>Toileteries &amp; Essentials</t>
  </si>
  <si>
    <t>Total Education</t>
  </si>
  <si>
    <t>Total Transporation</t>
  </si>
  <si>
    <t>Total Interest</t>
  </si>
  <si>
    <t xml:space="preserve">Total </t>
  </si>
  <si>
    <t>Total Non Discretionary</t>
  </si>
  <si>
    <t>Total</t>
  </si>
  <si>
    <t xml:space="preserve">Toileteries </t>
  </si>
  <si>
    <t>Other Subscriptions</t>
  </si>
  <si>
    <t>Total Subscriptions</t>
  </si>
  <si>
    <t>Total Shopping</t>
  </si>
  <si>
    <t xml:space="preserve">Gifts </t>
  </si>
  <si>
    <t>Sponsorships</t>
  </si>
  <si>
    <t>Charity</t>
  </si>
  <si>
    <t>Total Discretionary</t>
  </si>
  <si>
    <t>Total Income</t>
  </si>
  <si>
    <t>Passive Income</t>
  </si>
  <si>
    <t>Total Income Relationship</t>
  </si>
  <si>
    <t>Passive Income Relationship</t>
  </si>
  <si>
    <t>Total Expenses</t>
  </si>
  <si>
    <t>Net Positive/Negative Cash Flow</t>
  </si>
  <si>
    <t>TX TO MORTGAGE</t>
  </si>
  <si>
    <t>TX TO COLLEGE FUND</t>
  </si>
  <si>
    <t>Total PYF</t>
  </si>
  <si>
    <t>% of Net Income</t>
  </si>
  <si>
    <t>PAY YOURSELF FIRST</t>
  </si>
  <si>
    <t xml:space="preserve">Income Generating Assets </t>
  </si>
  <si>
    <t>Open Bal</t>
  </si>
  <si>
    <t>closing bal</t>
  </si>
  <si>
    <t>Fixed Deposits</t>
  </si>
  <si>
    <t>Savings &amp; Checking</t>
  </si>
  <si>
    <t>Private Bonds</t>
  </si>
  <si>
    <t>Govt Bonds</t>
  </si>
  <si>
    <t>Intrest paid</t>
  </si>
  <si>
    <t>tenor</t>
  </si>
  <si>
    <t>Equity</t>
  </si>
  <si>
    <t>REITS</t>
  </si>
  <si>
    <t xml:space="preserve">Non-Income Generating Assets </t>
  </si>
  <si>
    <t>Cash</t>
  </si>
  <si>
    <t>Crypto Curencies</t>
  </si>
  <si>
    <t>Mutual Funds</t>
  </si>
  <si>
    <t>Property</t>
  </si>
  <si>
    <t>Intrest earned</t>
  </si>
  <si>
    <t>Land &amp; Property</t>
  </si>
  <si>
    <t>Retirnment Accounts</t>
  </si>
  <si>
    <t>Profit Share</t>
  </si>
  <si>
    <t>Total Income Generating Asset</t>
  </si>
  <si>
    <t>Intrest Bearing Liabilities</t>
  </si>
  <si>
    <t>Asset Financing</t>
  </si>
  <si>
    <t>Student Loans</t>
  </si>
  <si>
    <t>Mortgage</t>
  </si>
  <si>
    <t>Personal Loans</t>
  </si>
  <si>
    <t>Credit Card</t>
  </si>
  <si>
    <t>Art</t>
  </si>
  <si>
    <t>Patents</t>
  </si>
  <si>
    <t>Non-Intreat Generating Liabilities</t>
  </si>
  <si>
    <t>Company drawings</t>
  </si>
  <si>
    <t>Retirnment</t>
  </si>
  <si>
    <t>College Fund</t>
  </si>
  <si>
    <t>Target Savings Funds</t>
  </si>
  <si>
    <t>Furniture/ Fixtures</t>
  </si>
  <si>
    <t>Others</t>
  </si>
  <si>
    <t>Government Taxes</t>
  </si>
  <si>
    <t>Accrued Wages</t>
  </si>
  <si>
    <t>Total Non-Income Generating Asset</t>
  </si>
  <si>
    <t>Total Non-Interest Generating Liability</t>
  </si>
  <si>
    <t>Total Assets</t>
  </si>
  <si>
    <t>Coverage Ratio</t>
  </si>
  <si>
    <t>Total Liabilities</t>
  </si>
  <si>
    <t>Total Interest Generating Liability</t>
  </si>
  <si>
    <t>Cash Ratio</t>
  </si>
  <si>
    <t>Zero dividend Securities</t>
  </si>
  <si>
    <t>Inflow</t>
  </si>
  <si>
    <t>Active Income</t>
  </si>
  <si>
    <t>Outflow</t>
  </si>
  <si>
    <t>Investment</t>
  </si>
  <si>
    <t>Financing</t>
  </si>
  <si>
    <t xml:space="preserve">Operations </t>
  </si>
  <si>
    <t>TX TO INVESTMENT</t>
  </si>
  <si>
    <t>TX TO  EXTRA RETIRNMENT SAVINGS</t>
  </si>
  <si>
    <t>TX TO PAY INTEREST</t>
  </si>
  <si>
    <t>TOTAL TX TO INVESTMENT</t>
  </si>
  <si>
    <t>Financial Events Calculator</t>
  </si>
  <si>
    <t>Age</t>
  </si>
  <si>
    <t>Desired Retirnment Age</t>
  </si>
  <si>
    <t>Period to Retire</t>
  </si>
  <si>
    <t>number of paychecks</t>
  </si>
  <si>
    <t>Financial Goals</t>
  </si>
  <si>
    <t xml:space="preserve">Financial Goal </t>
  </si>
  <si>
    <t>Periods</t>
  </si>
  <si>
    <t>Cost of my Goal</t>
  </si>
  <si>
    <t>Mortagage</t>
  </si>
  <si>
    <t>Emergency Fund</t>
  </si>
  <si>
    <t>New Goal</t>
  </si>
  <si>
    <t>Savings (PV)</t>
  </si>
  <si>
    <t>Intrest Rate (i)</t>
  </si>
  <si>
    <t>Actual from Last Period</t>
  </si>
  <si>
    <t>Budget For Next Period</t>
  </si>
  <si>
    <t>Freelancing (Corporate Writings)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</si>
</sst>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£&quot;#,##0.00;[Red]\-&quot;£&quot;#,##0.00"/>
    <numFmt numFmtId="165" formatCode="_-* #,##0.00_-;\-* #,##0.00_-;_-* &quot;-&quot;??_-;_-@_-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2">
    <xf numFmtId="0" fontId="0" fillId="0" borderId="0" xfId="0"/>
    <xf numFmtId="43" fontId="1" fillId="0" borderId="1" xfId="1" applyFont="1" applyBorder="1"/>
    <xf numFmtId="0" fontId="0" fillId="0" borderId="1" xfId="0" applyBorder="1"/>
    <xf numFmtId="43" fontId="2" fillId="3" borderId="1" xfId="1" applyFont="1" applyFill="1" applyBorder="1"/>
    <xf numFmtId="43" fontId="4" fillId="3" borderId="1" xfId="1" applyFont="1" applyFill="1" applyBorder="1"/>
    <xf numFmtId="43" fontId="4" fillId="0" borderId="1" xfId="1" applyFont="1" applyFill="1" applyBorder="1"/>
    <xf numFmtId="0" fontId="0" fillId="2" borderId="1" xfId="0" applyFill="1" applyBorder="1"/>
    <xf numFmtId="0" fontId="4" fillId="0" borderId="1" xfId="0" applyFont="1" applyBorder="1"/>
    <xf numFmtId="0" fontId="3" fillId="0" borderId="1" xfId="0" applyFont="1" applyBorder="1"/>
    <xf numFmtId="43" fontId="1" fillId="0" borderId="1" xfId="1" applyFont="1" applyFill="1" applyBorder="1"/>
    <xf numFmtId="43" fontId="1" fillId="2" borderId="1" xfId="1" applyFont="1" applyFill="1" applyBorder="1"/>
    <xf numFmtId="43" fontId="2" fillId="0" borderId="1" xfId="1" applyFont="1" applyFill="1" applyBorder="1"/>
    <xf numFmtId="0" fontId="4" fillId="0" borderId="0" xfId="0" applyFont="1"/>
    <xf numFmtId="43" fontId="4" fillId="0" borderId="0" xfId="1" applyFont="1" applyFill="1" applyBorder="1"/>
    <xf numFmtId="0" fontId="0" fillId="2" borderId="0" xfId="0" applyFill="1"/>
    <xf numFmtId="43" fontId="0" fillId="0" borderId="0" xfId="0" applyNumberFormat="1"/>
    <xf numFmtId="43" fontId="0" fillId="3" borderId="0" xfId="0" applyNumberFormat="1" applyFill="1"/>
    <xf numFmtId="43" fontId="2" fillId="2" borderId="1" xfId="1" applyFont="1" applyFill="1" applyBorder="1"/>
    <xf numFmtId="0" fontId="6" fillId="0" borderId="1" xfId="0" applyFont="1" applyBorder="1"/>
    <xf numFmtId="0" fontId="3" fillId="0" borderId="0" xfId="0" applyFont="1"/>
    <xf numFmtId="43" fontId="0" fillId="2" borderId="1" xfId="0" applyNumberFormat="1" applyFill="1" applyBorder="1"/>
    <xf numFmtId="43" fontId="0" fillId="3" borderId="1" xfId="0" applyNumberFormat="1" applyFill="1" applyBorder="1"/>
    <xf numFmtId="0" fontId="0" fillId="3" borderId="1" xfId="0" applyFill="1" applyBorder="1"/>
    <xf numFmtId="0" fontId="2" fillId="0" borderId="1" xfId="0" applyFont="1" applyBorder="1"/>
    <xf numFmtId="0" fontId="8" fillId="0" borderId="1" xfId="0" applyFont="1" applyBorder="1"/>
    <xf numFmtId="0" fontId="7" fillId="0" borderId="1" xfId="0" applyFont="1" applyBorder="1"/>
    <xf numFmtId="2" fontId="0" fillId="3" borderId="1" xfId="0" applyNumberFormat="1" applyFill="1" applyBorder="1"/>
    <xf numFmtId="0" fontId="2" fillId="0" borderId="2" xfId="0" applyFont="1" applyBorder="1"/>
    <xf numFmtId="0" fontId="0" fillId="0" borderId="3" xfId="0" applyBorder="1"/>
    <xf numFmtId="0" fontId="5" fillId="0" borderId="4" xfId="0" applyFont="1" applyBorder="1"/>
    <xf numFmtId="43" fontId="5" fillId="4" borderId="0" xfId="0" applyNumberFormat="1" applyFont="1" applyFill="1"/>
    <xf numFmtId="0" fontId="0" fillId="5" borderId="0" xfId="0" applyFill="1"/>
    <xf numFmtId="0" fontId="0" fillId="6" borderId="0" xfId="0" applyFill="1"/>
    <xf numFmtId="0" fontId="0" fillId="5" borderId="1" xfId="0" applyFill="1" applyBorder="1"/>
    <xf numFmtId="0" fontId="0" fillId="0" borderId="6" xfId="0" applyBorder="1"/>
    <xf numFmtId="43" fontId="0" fillId="7" borderId="0" xfId="0" applyNumberFormat="1" applyFill="1"/>
    <xf numFmtId="0" fontId="0" fillId="3" borderId="0" xfId="0" applyFill="1"/>
    <xf numFmtId="0" fontId="2" fillId="0" borderId="0" xfId="0" applyFont="1"/>
    <xf numFmtId="0" fontId="0" fillId="0" borderId="8" xfId="0" applyBorder="1"/>
    <xf numFmtId="0" fontId="0" fillId="2" borderId="9" xfId="0" applyFill="1" applyBorder="1"/>
    <xf numFmtId="43" fontId="1" fillId="0" borderId="0" xfId="1" applyFont="1"/>
    <xf numFmtId="0" fontId="0" fillId="0" borderId="10" xfId="0" applyBorder="1"/>
    <xf numFmtId="0" fontId="0" fillId="0" borderId="11" xfId="0" applyBorder="1"/>
    <xf numFmtId="0" fontId="0" fillId="2" borderId="11" xfId="0" applyFill="1" applyBorder="1"/>
    <xf numFmtId="0" fontId="0" fillId="0" borderId="12" xfId="0" applyBorder="1"/>
    <xf numFmtId="2" fontId="2" fillId="0" borderId="1" xfId="0" applyNumberFormat="1" applyFont="1" applyBorder="1"/>
    <xf numFmtId="0" fontId="2" fillId="0" borderId="6" xfId="0" applyFont="1" applyBorder="1"/>
    <xf numFmtId="164" fontId="1" fillId="0" borderId="1" xfId="1" applyNumberFormat="1" applyFont="1" applyBorder="1"/>
    <xf numFmtId="10" fontId="0" fillId="2" borderId="1" xfId="0" applyNumberFormat="1" applyFill="1" applyBorder="1"/>
    <xf numFmtId="1" fontId="0" fillId="2" borderId="1" xfId="0" applyNumberFormat="1" applyFill="1" applyBorder="1"/>
    <xf numFmtId="0" fontId="0" fillId="8" borderId="1" xfId="0" applyFill="1" applyBorder="1"/>
    <xf numFmtId="1" fontId="0" fillId="8" borderId="1" xfId="0" applyNumberFormat="1" applyFill="1" applyBorder="1"/>
    <xf numFmtId="2" fontId="0" fillId="0" borderId="1" xfId="0" applyNumberFormat="1" applyBorder="1"/>
    <xf numFmtId="8" fontId="0" fillId="0" borderId="1" xfId="0" applyNumberFormat="1" applyBorder="1"/>
    <xf numFmtId="0" fontId="0" fillId="3" borderId="14" xfId="0" applyFill="1" applyBorder="1"/>
    <xf numFmtId="43" fontId="2" fillId="0" borderId="1" xfId="1" applyFont="1" applyFill="1" applyBorder="1" applyAlignment="1">
      <alignment wrapText="1"/>
    </xf>
    <xf numFmtId="43" fontId="1" fillId="0" borderId="1" xfId="1" applyFont="1" applyBorder="1" applyAlignment="1">
      <alignment wrapText="1"/>
    </xf>
    <xf numFmtId="43" fontId="1" fillId="3" borderId="1" xfId="1" applyFont="1" applyFill="1" applyBorder="1"/>
    <xf numFmtId="165" fontId="0" fillId="3" borderId="1" xfId="0" applyNumberFormat="1" applyFill="1" applyBorder="1"/>
    <xf numFmtId="0" fontId="0" fillId="3" borderId="13" xfId="0" applyFill="1" applyBorder="1"/>
    <xf numFmtId="44" fontId="1" fillId="2" borderId="1" xfId="2" applyFont="1" applyFill="1" applyBorder="1"/>
    <xf numFmtId="44" fontId="0" fillId="2" borderId="1" xfId="2" applyFont="1" applyFill="1" applyBorder="1"/>
    <xf numFmtId="43" fontId="0" fillId="0" borderId="1" xfId="1" applyFont="1" applyBorder="1"/>
    <xf numFmtId="43" fontId="0" fillId="2" borderId="1" xfId="1" applyFont="1" applyFill="1" applyBorder="1"/>
    <xf numFmtId="43" fontId="0" fillId="3" borderId="1" xfId="1" applyFont="1" applyFill="1" applyBorder="1"/>
    <xf numFmtId="43" fontId="0" fillId="0" borderId="0" xfId="1" applyFont="1"/>
    <xf numFmtId="166" fontId="2" fillId="0" borderId="1" xfId="1" applyNumberFormat="1" applyFont="1" applyFill="1" applyBorder="1" applyAlignment="1">
      <alignment wrapText="1"/>
    </xf>
    <xf numFmtId="166" fontId="0" fillId="0" borderId="1" xfId="1" applyNumberFormat="1" applyFont="1" applyBorder="1"/>
    <xf numFmtId="166" fontId="0" fillId="2" borderId="1" xfId="1" applyNumberFormat="1" applyFont="1" applyFill="1" applyBorder="1"/>
    <xf numFmtId="166" fontId="0" fillId="3" borderId="1" xfId="1" applyNumberFormat="1" applyFont="1" applyFill="1" applyBorder="1"/>
    <xf numFmtId="166" fontId="0" fillId="2" borderId="1" xfId="1" applyNumberFormat="1" applyFont="1" applyFill="1" applyBorder="1" applyProtection="1">
      <protection locked="0"/>
    </xf>
    <xf numFmtId="166" fontId="0" fillId="0" borderId="1" xfId="1" applyNumberFormat="1" applyFont="1" applyFill="1" applyBorder="1"/>
    <xf numFmtId="166" fontId="0" fillId="0" borderId="3" xfId="1" applyNumberFormat="1" applyFont="1" applyBorder="1"/>
    <xf numFmtId="166" fontId="5" fillId="4" borderId="5" xfId="1" applyNumberFormat="1" applyFont="1" applyFill="1" applyBorder="1"/>
    <xf numFmtId="166" fontId="0" fillId="0" borderId="0" xfId="1" applyNumberFormat="1" applyFont="1"/>
    <xf numFmtId="43" fontId="0" fillId="2" borderId="19" xfId="1" applyFont="1" applyFill="1" applyBorder="1"/>
    <xf numFmtId="43" fontId="0" fillId="2" borderId="20" xfId="1" applyFont="1" applyFill="1" applyBorder="1"/>
    <xf numFmtId="43" fontId="0" fillId="2" borderId="21" xfId="1" applyFont="1" applyFill="1" applyBorder="1"/>
    <xf numFmtId="43" fontId="5" fillId="3" borderId="14" xfId="1" applyFont="1" applyFill="1" applyBorder="1"/>
    <xf numFmtId="43" fontId="0" fillId="0" borderId="7" xfId="1" applyFont="1" applyBorder="1"/>
    <xf numFmtId="43" fontId="0" fillId="2" borderId="0" xfId="1" applyFont="1" applyFill="1"/>
    <xf numFmtId="43" fontId="0" fillId="2" borderId="6" xfId="1" applyFont="1" applyFill="1" applyBorder="1"/>
    <xf numFmtId="43" fontId="0" fillId="2" borderId="17" xfId="1" applyFont="1" applyFill="1" applyBorder="1"/>
    <xf numFmtId="43" fontId="0" fillId="3" borderId="15" xfId="1" applyFont="1" applyFill="1" applyBorder="1"/>
    <xf numFmtId="43" fontId="0" fillId="5" borderId="0" xfId="1" applyFont="1" applyFill="1"/>
    <xf numFmtId="43" fontId="0" fillId="3" borderId="2" xfId="1" applyFont="1" applyFill="1" applyBorder="1"/>
    <xf numFmtId="43" fontId="0" fillId="2" borderId="2" xfId="1" applyFont="1" applyFill="1" applyBorder="1"/>
    <xf numFmtId="43" fontId="0" fillId="2" borderId="18" xfId="1" applyFont="1" applyFill="1" applyBorder="1"/>
    <xf numFmtId="43" fontId="0" fillId="3" borderId="22" xfId="1" applyFont="1" applyFill="1" applyBorder="1"/>
    <xf numFmtId="43" fontId="0" fillId="2" borderId="3" xfId="1" applyFont="1" applyFill="1" applyBorder="1"/>
    <xf numFmtId="43" fontId="0" fillId="3" borderId="4" xfId="1" applyFont="1" applyFill="1" applyBorder="1"/>
    <xf numFmtId="43" fontId="0" fillId="3" borderId="16" xfId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A620-D35A-461D-8288-AAF6BC05244F}">
  <dimension ref="A2:J68"/>
  <sheetViews>
    <sheetView tabSelected="1" workbookViewId="0">
      <selection activeCell="C34" sqref="C34"/>
    </sheetView>
  </sheetViews>
  <sheetFormatPr defaultRowHeight="14.5" x14ac:dyDescent="0.35"/>
  <cols>
    <col min="1" max="1" width="33.26953125" bestFit="1" customWidth="1"/>
    <col min="2" max="2" width="16" bestFit="1" customWidth="1"/>
    <col min="3" max="3" width="12.36328125" customWidth="1"/>
    <col min="4" max="4" width="17.36328125" customWidth="1"/>
    <col min="5" max="5" width="34" bestFit="1" customWidth="1"/>
    <col min="6" max="6" width="15.7265625" style="74" bestFit="1" customWidth="1"/>
    <col min="7" max="7" width="12.36328125" customWidth="1"/>
    <col min="8" max="8" width="28.26953125" bestFit="1" customWidth="1"/>
    <col min="9" max="9" width="10.54296875" style="74" bestFit="1" customWidth="1"/>
  </cols>
  <sheetData>
    <row r="2" spans="1:10" ht="45.5" x14ac:dyDescent="0.55000000000000004">
      <c r="A2" s="8" t="s">
        <v>0</v>
      </c>
      <c r="B2" s="55" t="s">
        <v>166</v>
      </c>
      <c r="C2" s="56" t="s">
        <v>167</v>
      </c>
      <c r="E2" s="8" t="s">
        <v>11</v>
      </c>
      <c r="F2" s="66" t="s">
        <v>166</v>
      </c>
      <c r="G2" s="56" t="s">
        <v>167</v>
      </c>
      <c r="H2" s="2"/>
      <c r="I2" s="66" t="s">
        <v>166</v>
      </c>
      <c r="J2" s="56" t="s">
        <v>167</v>
      </c>
    </row>
    <row r="3" spans="1:10" x14ac:dyDescent="0.35">
      <c r="A3" s="2"/>
      <c r="B3" s="9"/>
      <c r="C3" s="1"/>
      <c r="E3" s="2"/>
      <c r="F3" s="67"/>
      <c r="G3" s="2"/>
      <c r="H3" s="2"/>
      <c r="I3" s="67"/>
    </row>
    <row r="4" spans="1:10" ht="18.5" x14ac:dyDescent="0.45">
      <c r="A4" s="7" t="s">
        <v>9</v>
      </c>
      <c r="B4" s="11"/>
      <c r="C4" s="1"/>
      <c r="E4" s="7" t="s">
        <v>12</v>
      </c>
      <c r="F4" s="67"/>
      <c r="G4" s="2"/>
      <c r="H4" s="7" t="s">
        <v>42</v>
      </c>
      <c r="I4" s="67"/>
    </row>
    <row r="5" spans="1:10" ht="18.5" x14ac:dyDescent="0.45">
      <c r="A5" s="2" t="s">
        <v>1</v>
      </c>
      <c r="B5" s="10">
        <v>934324</v>
      </c>
      <c r="C5" s="1"/>
      <c r="E5" s="7" t="s">
        <v>13</v>
      </c>
      <c r="F5" s="67"/>
      <c r="G5" s="2"/>
      <c r="H5" s="7" t="s">
        <v>43</v>
      </c>
      <c r="I5" s="67"/>
    </row>
    <row r="6" spans="1:10" x14ac:dyDescent="0.35">
      <c r="A6" s="2" t="s">
        <v>168</v>
      </c>
      <c r="B6" s="10">
        <v>200000</v>
      </c>
      <c r="C6" s="1"/>
      <c r="E6" s="2" t="s">
        <v>69</v>
      </c>
      <c r="F6" s="68">
        <v>80000</v>
      </c>
      <c r="G6" s="20"/>
      <c r="H6" s="2" t="s">
        <v>44</v>
      </c>
      <c r="I6" s="68"/>
    </row>
    <row r="7" spans="1:10" ht="18.5" x14ac:dyDescent="0.45">
      <c r="A7" s="7" t="s">
        <v>2</v>
      </c>
      <c r="B7" s="3">
        <f>B5+B6</f>
        <v>1134324</v>
      </c>
      <c r="C7" s="1"/>
      <c r="E7" s="2" t="s">
        <v>14</v>
      </c>
      <c r="F7" s="68">
        <v>0</v>
      </c>
      <c r="G7" s="20"/>
      <c r="H7" s="2" t="s">
        <v>47</v>
      </c>
      <c r="I7" s="68">
        <v>20000</v>
      </c>
    </row>
    <row r="8" spans="1:10" ht="18.5" x14ac:dyDescent="0.45">
      <c r="A8" s="7"/>
      <c r="B8" s="11"/>
      <c r="C8" s="1"/>
      <c r="E8" s="23" t="s">
        <v>76</v>
      </c>
      <c r="F8" s="69">
        <f>SUM(F6:F7)</f>
        <v>80000</v>
      </c>
      <c r="G8" s="21"/>
      <c r="H8" s="2" t="s">
        <v>76</v>
      </c>
      <c r="I8" s="69">
        <f>SUM(I6:I7)</f>
        <v>20000</v>
      </c>
    </row>
    <row r="9" spans="1:10" ht="18.5" x14ac:dyDescent="0.45">
      <c r="A9" s="7" t="s">
        <v>65</v>
      </c>
      <c r="B9" s="17">
        <v>0</v>
      </c>
      <c r="C9" s="1"/>
      <c r="E9" s="2"/>
      <c r="F9" s="67"/>
      <c r="G9" s="2"/>
      <c r="H9" s="2"/>
      <c r="I9" s="67"/>
    </row>
    <row r="10" spans="1:10" ht="18.5" x14ac:dyDescent="0.45">
      <c r="A10" s="7" t="s">
        <v>62</v>
      </c>
      <c r="B10" s="17">
        <v>151815.14000000001</v>
      </c>
      <c r="C10" s="1"/>
      <c r="E10" s="2"/>
      <c r="F10" s="67"/>
      <c r="G10" s="2"/>
      <c r="H10" s="2"/>
      <c r="I10" s="67"/>
    </row>
    <row r="11" spans="1:10" ht="18.5" x14ac:dyDescent="0.45">
      <c r="A11" s="7" t="s">
        <v>15</v>
      </c>
      <c r="B11" s="17">
        <v>4680.95</v>
      </c>
      <c r="C11" s="1"/>
      <c r="E11" s="7" t="s">
        <v>70</v>
      </c>
      <c r="F11" s="67"/>
      <c r="G11" s="2"/>
      <c r="H11" s="7" t="s">
        <v>45</v>
      </c>
      <c r="I11" s="67"/>
    </row>
    <row r="12" spans="1:10" ht="18.5" x14ac:dyDescent="0.45">
      <c r="A12" s="7" t="s">
        <v>63</v>
      </c>
      <c r="B12" s="17">
        <v>27827.91</v>
      </c>
      <c r="C12" s="1"/>
      <c r="E12" s="2" t="s">
        <v>77</v>
      </c>
      <c r="F12" s="70">
        <v>5000</v>
      </c>
      <c r="G12" s="20"/>
      <c r="H12" s="2" t="s">
        <v>46</v>
      </c>
      <c r="I12" s="68"/>
    </row>
    <row r="13" spans="1:10" ht="18.5" x14ac:dyDescent="0.45">
      <c r="A13" s="7" t="s">
        <v>37</v>
      </c>
      <c r="B13" s="17"/>
      <c r="C13" s="1"/>
      <c r="E13" s="2" t="s">
        <v>74</v>
      </c>
      <c r="F13" s="69">
        <f>F12</f>
        <v>5000</v>
      </c>
      <c r="G13" s="21"/>
      <c r="H13" s="2" t="s">
        <v>48</v>
      </c>
      <c r="I13" s="68"/>
    </row>
    <row r="14" spans="1:10" ht="18.5" x14ac:dyDescent="0.45">
      <c r="A14" s="7" t="s">
        <v>64</v>
      </c>
      <c r="B14" s="17">
        <v>0</v>
      </c>
      <c r="C14" s="1"/>
      <c r="E14" s="2"/>
      <c r="F14" s="67"/>
      <c r="G14" s="2"/>
      <c r="H14" s="2" t="s">
        <v>49</v>
      </c>
      <c r="I14" s="68"/>
    </row>
    <row r="15" spans="1:10" ht="18.5" x14ac:dyDescent="0.45">
      <c r="A15" s="7" t="s">
        <v>66</v>
      </c>
      <c r="B15" s="3">
        <f>SUM(B9:B14)</f>
        <v>184324.00000000003</v>
      </c>
      <c r="C15" s="1"/>
      <c r="E15" s="7" t="s">
        <v>15</v>
      </c>
      <c r="F15" s="67"/>
      <c r="G15" s="2"/>
      <c r="H15" s="2" t="s">
        <v>78</v>
      </c>
      <c r="I15" s="68">
        <v>15000</v>
      </c>
    </row>
    <row r="16" spans="1:10" ht="18.5" x14ac:dyDescent="0.45">
      <c r="A16" s="7" t="s">
        <v>67</v>
      </c>
      <c r="B16" s="3">
        <f>B7-B15</f>
        <v>950000</v>
      </c>
      <c r="C16" s="1"/>
      <c r="E16" s="2" t="s">
        <v>16</v>
      </c>
      <c r="F16" s="68">
        <v>41666.666666666664</v>
      </c>
      <c r="G16" s="20"/>
      <c r="H16" s="2" t="s">
        <v>79</v>
      </c>
      <c r="I16" s="69">
        <f>SUM(I12:I15)</f>
        <v>15000</v>
      </c>
    </row>
    <row r="17" spans="1:9" x14ac:dyDescent="0.35">
      <c r="A17" s="2"/>
      <c r="B17" s="9"/>
      <c r="C17" s="1"/>
      <c r="E17" s="2" t="s">
        <v>17</v>
      </c>
      <c r="F17" s="68">
        <v>3000</v>
      </c>
      <c r="G17" s="20"/>
      <c r="H17" s="2"/>
      <c r="I17" s="67"/>
    </row>
    <row r="18" spans="1:9" ht="18.5" x14ac:dyDescent="0.45">
      <c r="A18" s="7" t="s">
        <v>10</v>
      </c>
      <c r="B18" s="11"/>
      <c r="C18" s="1"/>
      <c r="E18" s="2" t="s">
        <v>18</v>
      </c>
      <c r="F18" s="68">
        <f>1000*3</f>
        <v>3000</v>
      </c>
      <c r="G18" s="20"/>
      <c r="H18" s="7" t="s">
        <v>57</v>
      </c>
      <c r="I18" s="67"/>
    </row>
    <row r="19" spans="1:9" x14ac:dyDescent="0.35">
      <c r="A19" s="2" t="s">
        <v>3</v>
      </c>
      <c r="B19" s="10">
        <v>0</v>
      </c>
      <c r="C19" s="1"/>
      <c r="E19" s="2" t="s">
        <v>19</v>
      </c>
      <c r="F19" s="68">
        <v>1000</v>
      </c>
      <c r="G19" s="20"/>
      <c r="H19" s="2" t="s">
        <v>56</v>
      </c>
      <c r="I19" s="68">
        <v>50000</v>
      </c>
    </row>
    <row r="20" spans="1:9" x14ac:dyDescent="0.35">
      <c r="A20" s="2" t="s">
        <v>4</v>
      </c>
      <c r="B20" s="10">
        <v>0</v>
      </c>
      <c r="C20" s="1"/>
      <c r="E20" s="2" t="s">
        <v>20</v>
      </c>
      <c r="F20" s="68">
        <v>0</v>
      </c>
      <c r="G20" s="20"/>
      <c r="H20" s="2" t="s">
        <v>58</v>
      </c>
      <c r="I20" s="68">
        <v>20000</v>
      </c>
    </row>
    <row r="21" spans="1:9" x14ac:dyDescent="0.35">
      <c r="A21" s="2" t="s">
        <v>5</v>
      </c>
      <c r="B21" s="10">
        <v>0</v>
      </c>
      <c r="C21" s="1"/>
      <c r="E21" s="2" t="s">
        <v>21</v>
      </c>
      <c r="F21" s="68">
        <v>0</v>
      </c>
      <c r="G21" s="20"/>
      <c r="H21" s="2" t="s">
        <v>80</v>
      </c>
      <c r="I21" s="69">
        <f>SUM(I19:I20)</f>
        <v>70000</v>
      </c>
    </row>
    <row r="22" spans="1:9" x14ac:dyDescent="0.35">
      <c r="A22" s="2" t="s">
        <v>6</v>
      </c>
      <c r="B22" s="10">
        <v>0</v>
      </c>
      <c r="C22" s="1"/>
      <c r="E22" s="2" t="s">
        <v>41</v>
      </c>
      <c r="F22" s="68">
        <v>25000</v>
      </c>
      <c r="G22" s="20"/>
      <c r="H22" s="2"/>
      <c r="I22" s="67"/>
    </row>
    <row r="23" spans="1:9" ht="18.5" x14ac:dyDescent="0.45">
      <c r="A23" s="7" t="s">
        <v>7</v>
      </c>
      <c r="B23" s="3">
        <f>B19+B20+B21+B22</f>
        <v>0</v>
      </c>
      <c r="C23" s="1"/>
      <c r="E23" s="23" t="s">
        <v>74</v>
      </c>
      <c r="F23" s="69">
        <f>SUM(F16:F22)</f>
        <v>73666.666666666657</v>
      </c>
      <c r="G23" s="21"/>
      <c r="H23" s="2"/>
      <c r="I23" s="67"/>
    </row>
    <row r="24" spans="1:9" ht="18.5" x14ac:dyDescent="0.45">
      <c r="A24" s="2"/>
      <c r="B24" s="9"/>
      <c r="C24" s="1"/>
      <c r="E24" s="2"/>
      <c r="F24" s="67"/>
      <c r="G24" s="2"/>
      <c r="H24" s="7" t="s">
        <v>59</v>
      </c>
      <c r="I24" s="67"/>
    </row>
    <row r="25" spans="1:9" ht="23.5" x14ac:dyDescent="0.55000000000000004">
      <c r="A25" s="8" t="s">
        <v>8</v>
      </c>
      <c r="B25" s="4">
        <f>B16+B23</f>
        <v>950000</v>
      </c>
      <c r="C25" s="5"/>
      <c r="E25" s="7" t="s">
        <v>22</v>
      </c>
      <c r="F25" s="67"/>
      <c r="G25" s="2"/>
      <c r="H25" s="2" t="s">
        <v>60</v>
      </c>
      <c r="I25" s="68"/>
    </row>
    <row r="26" spans="1:9" ht="23.5" x14ac:dyDescent="0.55000000000000004">
      <c r="A26" s="19"/>
      <c r="B26" s="13"/>
      <c r="C26" s="13"/>
      <c r="E26" s="2" t="s">
        <v>23</v>
      </c>
      <c r="F26" s="68"/>
      <c r="G26" s="20"/>
      <c r="H26" s="2" t="s">
        <v>61</v>
      </c>
      <c r="I26" s="68"/>
    </row>
    <row r="27" spans="1:9" ht="18.5" x14ac:dyDescent="0.45">
      <c r="A27" s="12" t="s">
        <v>95</v>
      </c>
      <c r="B27" t="s">
        <v>94</v>
      </c>
      <c r="E27" s="2" t="s">
        <v>24</v>
      </c>
      <c r="F27" s="68"/>
      <c r="G27" s="20"/>
      <c r="H27" s="2" t="s">
        <v>76</v>
      </c>
      <c r="I27" s="69">
        <f>SUM(I25:I26)</f>
        <v>0</v>
      </c>
    </row>
    <row r="28" spans="1:9" x14ac:dyDescent="0.35">
      <c r="A28" t="s">
        <v>151</v>
      </c>
      <c r="C28" s="16">
        <f>C34+C32+C31+C30+C29</f>
        <v>190000</v>
      </c>
      <c r="E28" s="23" t="s">
        <v>71</v>
      </c>
      <c r="F28" s="69">
        <f>SUM(F26:F27)</f>
        <v>0</v>
      </c>
      <c r="G28" s="21"/>
      <c r="H28" s="2"/>
      <c r="I28" s="67"/>
    </row>
    <row r="29" spans="1:9" x14ac:dyDescent="0.35">
      <c r="A29" t="s">
        <v>25</v>
      </c>
      <c r="B29" s="14">
        <v>5</v>
      </c>
      <c r="C29" s="15">
        <f>B29%*B25</f>
        <v>47500</v>
      </c>
      <c r="E29" s="2"/>
      <c r="F29" s="67"/>
      <c r="G29" s="2"/>
      <c r="H29" s="23" t="s">
        <v>68</v>
      </c>
      <c r="I29" s="67"/>
    </row>
    <row r="30" spans="1:9" ht="18.5" x14ac:dyDescent="0.45">
      <c r="A30" t="s">
        <v>149</v>
      </c>
      <c r="B30" s="14">
        <v>5</v>
      </c>
      <c r="C30" s="15">
        <f>B30%*B25</f>
        <v>47500</v>
      </c>
      <c r="E30" s="7" t="s">
        <v>26</v>
      </c>
      <c r="F30" s="67"/>
      <c r="G30" s="2"/>
      <c r="H30" s="2" t="s">
        <v>81</v>
      </c>
      <c r="I30" s="68"/>
    </row>
    <row r="31" spans="1:9" x14ac:dyDescent="0.35">
      <c r="A31" t="s">
        <v>92</v>
      </c>
      <c r="B31" s="14">
        <v>0</v>
      </c>
      <c r="C31" s="15">
        <f>B31%*B25</f>
        <v>0</v>
      </c>
      <c r="E31" s="2" t="s">
        <v>27</v>
      </c>
      <c r="F31" s="68"/>
      <c r="G31" s="6"/>
      <c r="H31" s="2" t="s">
        <v>83</v>
      </c>
      <c r="I31" s="68">
        <v>30000</v>
      </c>
    </row>
    <row r="32" spans="1:9" x14ac:dyDescent="0.35">
      <c r="A32" t="s">
        <v>91</v>
      </c>
      <c r="B32" s="14">
        <v>0</v>
      </c>
      <c r="C32" s="15">
        <f>B32%*B25</f>
        <v>0</v>
      </c>
      <c r="E32" s="2" t="s">
        <v>28</v>
      </c>
      <c r="F32" s="68"/>
      <c r="G32" s="6"/>
      <c r="H32" s="2" t="s">
        <v>82</v>
      </c>
      <c r="I32" s="68">
        <v>10000</v>
      </c>
    </row>
    <row r="33" spans="1:9" x14ac:dyDescent="0.35">
      <c r="A33" t="s">
        <v>150</v>
      </c>
      <c r="B33" s="14">
        <v>0</v>
      </c>
      <c r="C33" s="15">
        <f>B33%*B25</f>
        <v>0</v>
      </c>
      <c r="E33" s="2" t="s">
        <v>29</v>
      </c>
      <c r="F33" s="68"/>
      <c r="G33" s="6"/>
      <c r="H33" s="2" t="s">
        <v>76</v>
      </c>
      <c r="I33" s="69">
        <f>SUM(I30:I32)</f>
        <v>40000</v>
      </c>
    </row>
    <row r="34" spans="1:9" x14ac:dyDescent="0.35">
      <c r="A34" t="s">
        <v>148</v>
      </c>
      <c r="B34" s="14">
        <v>10</v>
      </c>
      <c r="C34" s="15">
        <f>B34%*B25</f>
        <v>95000</v>
      </c>
      <c r="E34" s="2" t="s">
        <v>36</v>
      </c>
      <c r="F34" s="68"/>
      <c r="G34" s="6"/>
      <c r="H34" s="2"/>
      <c r="I34" s="67"/>
    </row>
    <row r="35" spans="1:9" x14ac:dyDescent="0.35">
      <c r="A35" t="s">
        <v>93</v>
      </c>
      <c r="C35" s="16">
        <f>C34+C33+C32+C31+C30+C29</f>
        <v>190000</v>
      </c>
      <c r="E35" s="2" t="s">
        <v>30</v>
      </c>
      <c r="F35" s="68">
        <v>60000</v>
      </c>
      <c r="G35" s="6"/>
      <c r="H35" s="2"/>
      <c r="I35" s="67"/>
    </row>
    <row r="36" spans="1:9" x14ac:dyDescent="0.35">
      <c r="E36" s="23" t="s">
        <v>72</v>
      </c>
      <c r="F36" s="69">
        <f>SUM(F31:F35)</f>
        <v>60000</v>
      </c>
      <c r="G36" s="22"/>
      <c r="H36" s="2"/>
      <c r="I36" s="67"/>
    </row>
    <row r="37" spans="1:9" x14ac:dyDescent="0.35">
      <c r="E37" s="2"/>
      <c r="F37" s="67"/>
      <c r="G37" s="2"/>
      <c r="H37" s="2"/>
      <c r="I37" s="67"/>
    </row>
    <row r="38" spans="1:9" ht="18.5" x14ac:dyDescent="0.45">
      <c r="E38" s="7" t="s">
        <v>31</v>
      </c>
      <c r="F38" s="67"/>
      <c r="G38" s="2"/>
      <c r="H38" s="2"/>
      <c r="I38" s="67"/>
    </row>
    <row r="39" spans="1:9" x14ac:dyDescent="0.35">
      <c r="E39" s="18" t="s">
        <v>32</v>
      </c>
      <c r="F39" s="68">
        <v>100000</v>
      </c>
      <c r="G39" s="6"/>
      <c r="H39" s="2"/>
      <c r="I39" s="67"/>
    </row>
    <row r="40" spans="1:9" x14ac:dyDescent="0.35">
      <c r="E40" s="18" t="s">
        <v>33</v>
      </c>
      <c r="F40" s="68"/>
      <c r="G40" s="6"/>
      <c r="H40" s="2"/>
      <c r="I40" s="67"/>
    </row>
    <row r="41" spans="1:9" x14ac:dyDescent="0.35">
      <c r="E41" s="18" t="s">
        <v>34</v>
      </c>
      <c r="F41" s="68"/>
      <c r="G41" s="6"/>
      <c r="H41" s="2"/>
      <c r="I41" s="67"/>
    </row>
    <row r="42" spans="1:9" x14ac:dyDescent="0.35">
      <c r="E42" s="18" t="s">
        <v>35</v>
      </c>
      <c r="F42" s="68"/>
      <c r="G42" s="6"/>
      <c r="H42" s="2"/>
      <c r="I42" s="67"/>
    </row>
    <row r="43" spans="1:9" x14ac:dyDescent="0.35">
      <c r="E43" s="24" t="s">
        <v>73</v>
      </c>
      <c r="F43" s="69">
        <f>SUM(F39:F42)</f>
        <v>100000</v>
      </c>
      <c r="G43" s="22"/>
      <c r="H43" s="2"/>
      <c r="I43" s="67"/>
    </row>
    <row r="44" spans="1:9" x14ac:dyDescent="0.35">
      <c r="E44" s="2"/>
      <c r="F44" s="67"/>
      <c r="G44" s="2"/>
      <c r="H44" s="2"/>
      <c r="I44" s="67"/>
    </row>
    <row r="45" spans="1:9" x14ac:dyDescent="0.35">
      <c r="E45" s="2"/>
      <c r="F45" s="67"/>
      <c r="G45" s="2"/>
      <c r="H45" s="2"/>
      <c r="I45" s="67"/>
    </row>
    <row r="46" spans="1:9" ht="18.5" x14ac:dyDescent="0.45">
      <c r="E46" s="25" t="s">
        <v>40</v>
      </c>
      <c r="F46" s="71"/>
      <c r="G46" s="2"/>
      <c r="H46" s="2"/>
      <c r="I46" s="67"/>
    </row>
    <row r="47" spans="1:9" x14ac:dyDescent="0.35">
      <c r="E47" s="18" t="s">
        <v>37</v>
      </c>
      <c r="F47" s="68"/>
      <c r="G47" s="6"/>
      <c r="H47" s="2"/>
      <c r="I47" s="67"/>
    </row>
    <row r="48" spans="1:9" x14ac:dyDescent="0.35">
      <c r="E48" s="18" t="s">
        <v>38</v>
      </c>
      <c r="F48" s="68"/>
      <c r="G48" s="6"/>
      <c r="H48" s="2"/>
      <c r="I48" s="67"/>
    </row>
    <row r="49" spans="3:9" x14ac:dyDescent="0.35">
      <c r="E49" s="18" t="s">
        <v>39</v>
      </c>
      <c r="F49" s="68"/>
      <c r="G49" s="6"/>
      <c r="H49" s="2"/>
      <c r="I49" s="67"/>
    </row>
    <row r="50" spans="3:9" x14ac:dyDescent="0.35">
      <c r="E50" s="18" t="s">
        <v>76</v>
      </c>
      <c r="F50" s="69">
        <f>SUM(F47:F49)</f>
        <v>0</v>
      </c>
      <c r="G50" s="22"/>
      <c r="H50" s="2"/>
      <c r="I50" s="67"/>
    </row>
    <row r="51" spans="3:9" ht="18.5" x14ac:dyDescent="0.45">
      <c r="E51" s="25" t="s">
        <v>50</v>
      </c>
      <c r="F51" s="71"/>
      <c r="G51" s="2"/>
      <c r="H51" s="2"/>
      <c r="I51" s="67"/>
    </row>
    <row r="52" spans="3:9" x14ac:dyDescent="0.35">
      <c r="E52" s="18" t="s">
        <v>51</v>
      </c>
      <c r="F52" s="68">
        <v>10000</v>
      </c>
      <c r="G52" s="6"/>
      <c r="H52" s="2"/>
      <c r="I52" s="67"/>
    </row>
    <row r="53" spans="3:9" x14ac:dyDescent="0.35">
      <c r="E53" s="18"/>
      <c r="F53" s="67"/>
      <c r="G53" s="2"/>
      <c r="H53" s="2"/>
      <c r="I53" s="67"/>
    </row>
    <row r="54" spans="3:9" x14ac:dyDescent="0.35">
      <c r="E54" s="2" t="s">
        <v>76</v>
      </c>
      <c r="F54" s="69">
        <f>F52</f>
        <v>10000</v>
      </c>
      <c r="G54" s="22"/>
      <c r="H54" s="2"/>
      <c r="I54" s="67"/>
    </row>
    <row r="55" spans="3:9" x14ac:dyDescent="0.35">
      <c r="E55" s="23" t="s">
        <v>53</v>
      </c>
      <c r="F55" s="71"/>
      <c r="G55" s="2"/>
      <c r="H55" s="2"/>
      <c r="I55" s="67"/>
    </row>
    <row r="56" spans="3:9" x14ac:dyDescent="0.35">
      <c r="E56" s="2" t="s">
        <v>52</v>
      </c>
      <c r="F56" s="68"/>
      <c r="G56" s="6"/>
      <c r="H56" s="2"/>
      <c r="I56" s="67"/>
    </row>
    <row r="57" spans="3:9" x14ac:dyDescent="0.35">
      <c r="E57" s="2" t="s">
        <v>54</v>
      </c>
      <c r="F57" s="68"/>
      <c r="G57" s="6"/>
      <c r="H57" s="2"/>
      <c r="I57" s="67"/>
    </row>
    <row r="58" spans="3:9" x14ac:dyDescent="0.35">
      <c r="E58" s="2" t="s">
        <v>55</v>
      </c>
      <c r="F58" s="68">
        <v>65000</v>
      </c>
      <c r="G58" s="6"/>
      <c r="H58" s="2"/>
      <c r="I58" s="67"/>
    </row>
    <row r="59" spans="3:9" x14ac:dyDescent="0.35">
      <c r="E59" s="2" t="s">
        <v>76</v>
      </c>
      <c r="F59" s="69">
        <f>SUM(F56:F58)</f>
        <v>65000</v>
      </c>
      <c r="G59" s="22"/>
      <c r="H59" s="2"/>
      <c r="I59" s="67"/>
    </row>
    <row r="60" spans="3:9" x14ac:dyDescent="0.35">
      <c r="E60" s="2"/>
      <c r="F60" s="71"/>
      <c r="G60" s="2"/>
      <c r="H60" s="2"/>
      <c r="I60" s="67"/>
    </row>
    <row r="61" spans="3:9" x14ac:dyDescent="0.35">
      <c r="E61" s="23" t="s">
        <v>75</v>
      </c>
      <c r="F61" s="69">
        <f>F59+F54+F50+F43+F36+F28+F23+F13+F8+F1</f>
        <v>393666.66666666663</v>
      </c>
      <c r="G61" s="21"/>
      <c r="H61" s="2"/>
      <c r="I61" s="67"/>
    </row>
    <row r="62" spans="3:9" x14ac:dyDescent="0.35">
      <c r="E62" s="2"/>
      <c r="F62" s="67"/>
      <c r="G62" s="2"/>
      <c r="H62" s="2"/>
      <c r="I62" s="67"/>
    </row>
    <row r="63" spans="3:9" x14ac:dyDescent="0.35">
      <c r="C63" t="s">
        <v>87</v>
      </c>
      <c r="E63" s="2"/>
      <c r="F63" s="69">
        <f>(F61/B25)*100</f>
        <v>41.438596491228061</v>
      </c>
      <c r="G63" s="26"/>
      <c r="H63" s="2"/>
      <c r="I63" s="67"/>
    </row>
    <row r="64" spans="3:9" x14ac:dyDescent="0.35">
      <c r="C64" t="s">
        <v>88</v>
      </c>
      <c r="E64" s="2"/>
      <c r="F64" s="69" t="e">
        <f>(F61/B23)*100</f>
        <v>#DIV/0!</v>
      </c>
      <c r="G64" s="21"/>
      <c r="H64" s="2"/>
      <c r="I64" s="67"/>
    </row>
    <row r="65" spans="5:9" x14ac:dyDescent="0.35">
      <c r="E65" s="2"/>
      <c r="F65" s="71"/>
      <c r="G65" s="2"/>
      <c r="H65" s="2"/>
      <c r="I65" s="67"/>
    </row>
    <row r="66" spans="5:9" x14ac:dyDescent="0.35">
      <c r="E66" s="2" t="s">
        <v>89</v>
      </c>
      <c r="F66" s="69">
        <f>F61+I68</f>
        <v>558666.66666666663</v>
      </c>
      <c r="G66" s="21"/>
      <c r="H66" s="2"/>
      <c r="I66" s="67"/>
    </row>
    <row r="67" spans="5:9" ht="15" thickBot="1" x14ac:dyDescent="0.4">
      <c r="E67" s="28"/>
      <c r="F67" s="72"/>
      <c r="G67" s="28"/>
      <c r="H67" s="2"/>
      <c r="I67" s="67"/>
    </row>
    <row r="68" spans="5:9" ht="19" thickBot="1" x14ac:dyDescent="0.5">
      <c r="E68" s="29" t="s">
        <v>90</v>
      </c>
      <c r="F68" s="73">
        <f>B25-F66</f>
        <v>391333.33333333337</v>
      </c>
      <c r="G68" s="30"/>
      <c r="H68" s="27" t="s">
        <v>84</v>
      </c>
      <c r="I68" s="69">
        <f>I33+I27+I21+I16+I8+I8</f>
        <v>165000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47A4-5830-443C-BEC9-20BBDD741473}">
  <dimension ref="B3:L32"/>
  <sheetViews>
    <sheetView workbookViewId="0">
      <selection activeCell="C28" sqref="C28"/>
    </sheetView>
  </sheetViews>
  <sheetFormatPr defaultRowHeight="14.5" x14ac:dyDescent="0.35"/>
  <cols>
    <col min="2" max="2" width="29" bestFit="1" customWidth="1"/>
    <col min="3" max="3" width="13.26953125" style="65" bestFit="1" customWidth="1"/>
    <col min="4" max="4" width="16" style="65" bestFit="1" customWidth="1"/>
    <col min="5" max="5" width="9.7265625" style="65" customWidth="1"/>
    <col min="6" max="6" width="13.26953125" style="65" bestFit="1" customWidth="1"/>
    <col min="8" max="8" width="31.26953125" bestFit="1" customWidth="1"/>
    <col min="9" max="9" width="11.54296875" style="65" bestFit="1" customWidth="1"/>
    <col min="10" max="10" width="12" style="65" bestFit="1" customWidth="1"/>
    <col min="11" max="11" width="9.26953125" style="65" bestFit="1" customWidth="1"/>
    <col min="12" max="12" width="11.54296875" style="65" bestFit="1" customWidth="1"/>
  </cols>
  <sheetData>
    <row r="3" spans="2:12" ht="15" thickBot="1" x14ac:dyDescent="0.4"/>
    <row r="4" spans="2:12" x14ac:dyDescent="0.35">
      <c r="B4" s="31" t="s">
        <v>96</v>
      </c>
      <c r="C4" s="80" t="s">
        <v>97</v>
      </c>
      <c r="D4" s="75" t="s">
        <v>112</v>
      </c>
      <c r="E4" s="80" t="s">
        <v>104</v>
      </c>
      <c r="F4" s="84" t="s">
        <v>98</v>
      </c>
      <c r="G4" s="31"/>
      <c r="H4" s="32" t="s">
        <v>117</v>
      </c>
      <c r="I4" s="80" t="s">
        <v>97</v>
      </c>
      <c r="J4" s="75" t="s">
        <v>103</v>
      </c>
      <c r="K4" s="80" t="s">
        <v>104</v>
      </c>
      <c r="L4" s="84" t="s">
        <v>98</v>
      </c>
    </row>
    <row r="5" spans="2:12" x14ac:dyDescent="0.35">
      <c r="B5" s="2" t="s">
        <v>100</v>
      </c>
      <c r="C5" s="81">
        <v>10000</v>
      </c>
      <c r="D5" s="76">
        <v>0</v>
      </c>
      <c r="E5" s="86">
        <v>0</v>
      </c>
      <c r="F5" s="64">
        <f>SUM(C5:E5)</f>
        <v>10000</v>
      </c>
      <c r="G5" s="31"/>
      <c r="H5" s="2" t="s">
        <v>118</v>
      </c>
      <c r="I5" s="81">
        <v>1</v>
      </c>
      <c r="J5" s="76">
        <v>0</v>
      </c>
      <c r="K5" s="86">
        <v>0</v>
      </c>
      <c r="L5" s="64">
        <f>SUM(I5:K5)</f>
        <v>1</v>
      </c>
    </row>
    <row r="6" spans="2:12" x14ac:dyDescent="0.35">
      <c r="B6" s="2" t="s">
        <v>99</v>
      </c>
      <c r="C6" s="81">
        <v>0</v>
      </c>
      <c r="D6" s="76">
        <v>0</v>
      </c>
      <c r="E6" s="86">
        <v>0</v>
      </c>
      <c r="F6" s="64">
        <f t="shared" ref="F6:F14" si="0">SUM(C6:E6)</f>
        <v>0</v>
      </c>
      <c r="G6" s="31"/>
      <c r="H6" s="2" t="s">
        <v>119</v>
      </c>
      <c r="I6" s="81">
        <v>0</v>
      </c>
      <c r="J6" s="76">
        <v>0</v>
      </c>
      <c r="K6" s="86">
        <v>0</v>
      </c>
      <c r="L6" s="64">
        <f t="shared" ref="L6:L14" si="1">SUM(I6:K6)</f>
        <v>0</v>
      </c>
    </row>
    <row r="7" spans="2:12" x14ac:dyDescent="0.35">
      <c r="B7" s="2" t="s">
        <v>101</v>
      </c>
      <c r="C7" s="81">
        <v>0</v>
      </c>
      <c r="D7" s="76">
        <v>0</v>
      </c>
      <c r="E7" s="86">
        <v>0</v>
      </c>
      <c r="F7" s="64">
        <f t="shared" si="0"/>
        <v>0</v>
      </c>
      <c r="G7" s="31"/>
      <c r="H7" s="2" t="s">
        <v>120</v>
      </c>
      <c r="I7" s="81">
        <v>0</v>
      </c>
      <c r="J7" s="76">
        <v>0</v>
      </c>
      <c r="K7" s="86">
        <v>0</v>
      </c>
      <c r="L7" s="64">
        <f t="shared" si="1"/>
        <v>0</v>
      </c>
    </row>
    <row r="8" spans="2:12" x14ac:dyDescent="0.35">
      <c r="B8" s="2" t="s">
        <v>102</v>
      </c>
      <c r="C8" s="81">
        <v>0</v>
      </c>
      <c r="D8" s="76">
        <v>0</v>
      </c>
      <c r="E8" s="86">
        <v>0</v>
      </c>
      <c r="F8" s="64">
        <f t="shared" si="0"/>
        <v>0</v>
      </c>
      <c r="G8" s="31"/>
      <c r="H8" s="2" t="s">
        <v>121</v>
      </c>
      <c r="I8" s="81">
        <v>0</v>
      </c>
      <c r="J8" s="76">
        <v>0</v>
      </c>
      <c r="K8" s="86">
        <v>0</v>
      </c>
      <c r="L8" s="64">
        <f t="shared" si="1"/>
        <v>0</v>
      </c>
    </row>
    <row r="9" spans="2:12" x14ac:dyDescent="0.35">
      <c r="B9" s="2" t="s">
        <v>105</v>
      </c>
      <c r="C9" s="81">
        <v>0</v>
      </c>
      <c r="D9" s="76">
        <v>0</v>
      </c>
      <c r="E9" s="86">
        <v>0</v>
      </c>
      <c r="F9" s="64">
        <f t="shared" si="0"/>
        <v>0</v>
      </c>
      <c r="G9" s="31"/>
      <c r="H9" s="2" t="s">
        <v>122</v>
      </c>
      <c r="I9" s="81">
        <v>0</v>
      </c>
      <c r="J9" s="76">
        <v>0</v>
      </c>
      <c r="K9" s="86">
        <v>0</v>
      </c>
      <c r="L9" s="64">
        <f t="shared" si="1"/>
        <v>0</v>
      </c>
    </row>
    <row r="10" spans="2:12" x14ac:dyDescent="0.35">
      <c r="B10" s="2" t="s">
        <v>106</v>
      </c>
      <c r="C10" s="81">
        <v>0</v>
      </c>
      <c r="D10" s="76">
        <v>0</v>
      </c>
      <c r="E10" s="86">
        <v>0</v>
      </c>
      <c r="F10" s="64">
        <f t="shared" si="0"/>
        <v>0</v>
      </c>
      <c r="G10" s="31"/>
      <c r="H10" s="2" t="s">
        <v>127</v>
      </c>
      <c r="I10" s="81">
        <v>0</v>
      </c>
      <c r="J10" s="76">
        <v>0</v>
      </c>
      <c r="K10" s="86">
        <v>0</v>
      </c>
      <c r="L10" s="64">
        <f t="shared" si="1"/>
        <v>0</v>
      </c>
    </row>
    <row r="11" spans="2:12" x14ac:dyDescent="0.35">
      <c r="B11" s="2" t="s">
        <v>110</v>
      </c>
      <c r="C11" s="81">
        <v>0</v>
      </c>
      <c r="D11" s="76">
        <v>0</v>
      </c>
      <c r="E11" s="86">
        <v>0</v>
      </c>
      <c r="F11" s="64">
        <f t="shared" si="0"/>
        <v>0</v>
      </c>
      <c r="G11" s="31"/>
      <c r="H11" s="2" t="s">
        <v>128</v>
      </c>
      <c r="I11" s="81">
        <v>0</v>
      </c>
      <c r="J11" s="76">
        <v>0</v>
      </c>
      <c r="K11" s="86">
        <v>0</v>
      </c>
      <c r="L11" s="64">
        <f t="shared" si="1"/>
        <v>0</v>
      </c>
    </row>
    <row r="12" spans="2:12" x14ac:dyDescent="0.35">
      <c r="B12" s="2" t="s">
        <v>111</v>
      </c>
      <c r="C12" s="81">
        <v>0</v>
      </c>
      <c r="D12" s="76">
        <v>0</v>
      </c>
      <c r="E12" s="86">
        <v>0</v>
      </c>
      <c r="F12" s="64">
        <f t="shared" si="0"/>
        <v>0</v>
      </c>
      <c r="G12" s="31"/>
      <c r="H12" s="2" t="s">
        <v>129</v>
      </c>
      <c r="I12" s="81">
        <v>0</v>
      </c>
      <c r="J12" s="76">
        <v>0</v>
      </c>
      <c r="K12" s="86">
        <v>0</v>
      </c>
      <c r="L12" s="64">
        <f t="shared" si="1"/>
        <v>0</v>
      </c>
    </row>
    <row r="13" spans="2:12" x14ac:dyDescent="0.35">
      <c r="B13" s="2" t="s">
        <v>114</v>
      </c>
      <c r="C13" s="81">
        <v>707863.29</v>
      </c>
      <c r="D13" s="76">
        <v>102280.63</v>
      </c>
      <c r="E13" s="86">
        <v>0</v>
      </c>
      <c r="F13" s="64">
        <f t="shared" si="0"/>
        <v>810143.92</v>
      </c>
      <c r="G13" s="31"/>
      <c r="H13" s="2"/>
      <c r="I13" s="81">
        <v>0</v>
      </c>
      <c r="J13" s="76"/>
      <c r="K13" s="86">
        <v>0</v>
      </c>
      <c r="L13" s="64">
        <f t="shared" si="1"/>
        <v>0</v>
      </c>
    </row>
    <row r="14" spans="2:12" ht="15" thickBot="1" x14ac:dyDescent="0.4">
      <c r="B14" s="2" t="s">
        <v>115</v>
      </c>
      <c r="C14" s="82">
        <v>0</v>
      </c>
      <c r="D14" s="77">
        <v>0</v>
      </c>
      <c r="E14" s="87">
        <v>0</v>
      </c>
      <c r="F14" s="64">
        <f t="shared" si="0"/>
        <v>0</v>
      </c>
      <c r="G14" s="31"/>
      <c r="H14" s="2"/>
      <c r="I14" s="82"/>
      <c r="J14" s="77"/>
      <c r="K14" s="87"/>
      <c r="L14" s="64">
        <f t="shared" si="1"/>
        <v>0</v>
      </c>
    </row>
    <row r="15" spans="2:12" ht="19" thickBot="1" x14ac:dyDescent="0.5">
      <c r="B15" s="34" t="s">
        <v>116</v>
      </c>
      <c r="C15" s="83">
        <f>SUM(C5:C14)</f>
        <v>717863.29</v>
      </c>
      <c r="D15" s="78">
        <f t="shared" ref="D15:E15" si="2">SUM(D5:D14)</f>
        <v>102280.63</v>
      </c>
      <c r="E15" s="91">
        <f t="shared" si="2"/>
        <v>0</v>
      </c>
      <c r="F15" s="85">
        <f>C15+D15+E15</f>
        <v>820143.92</v>
      </c>
      <c r="G15" s="31"/>
      <c r="H15" s="34" t="s">
        <v>139</v>
      </c>
      <c r="I15" s="83">
        <f>SUM(I5:I14)</f>
        <v>1</v>
      </c>
      <c r="J15" s="78">
        <f t="shared" ref="J15:K15" si="3">SUM(J5:J14)</f>
        <v>0</v>
      </c>
      <c r="K15" s="88">
        <f t="shared" si="3"/>
        <v>0</v>
      </c>
      <c r="L15" s="85">
        <f>I15+J15+K15</f>
        <v>1</v>
      </c>
    </row>
    <row r="16" spans="2:12" x14ac:dyDescent="0.35">
      <c r="B16" s="2"/>
      <c r="C16" s="79"/>
      <c r="D16" s="79"/>
      <c r="E16" s="79"/>
      <c r="F16" s="62"/>
      <c r="G16" s="31"/>
      <c r="H16" s="2"/>
      <c r="I16" s="79"/>
      <c r="J16" s="79"/>
      <c r="K16" s="79"/>
      <c r="L16" s="62"/>
    </row>
    <row r="17" spans="2:12" x14ac:dyDescent="0.35">
      <c r="B17" s="33" t="s">
        <v>107</v>
      </c>
      <c r="C17" s="62"/>
      <c r="D17" s="62"/>
      <c r="E17" s="62"/>
      <c r="F17" s="62"/>
      <c r="G17" s="31"/>
      <c r="H17" s="33" t="s">
        <v>125</v>
      </c>
      <c r="I17" s="63"/>
      <c r="J17" s="63"/>
      <c r="K17" s="63"/>
      <c r="L17" s="62"/>
    </row>
    <row r="18" spans="2:12" x14ac:dyDescent="0.35">
      <c r="B18" s="2" t="s">
        <v>108</v>
      </c>
      <c r="C18" s="63">
        <v>10000</v>
      </c>
      <c r="D18" s="63"/>
      <c r="E18" s="63">
        <v>0</v>
      </c>
      <c r="F18" s="64"/>
      <c r="G18" s="31"/>
      <c r="H18" s="2" t="s">
        <v>121</v>
      </c>
      <c r="I18" s="63">
        <v>285100</v>
      </c>
      <c r="J18" s="63"/>
      <c r="K18" s="63">
        <v>0</v>
      </c>
      <c r="L18" s="64"/>
    </row>
    <row r="19" spans="2:12" x14ac:dyDescent="0.35">
      <c r="B19" s="2" t="s">
        <v>109</v>
      </c>
      <c r="C19" s="63">
        <v>0</v>
      </c>
      <c r="D19" s="63"/>
      <c r="E19" s="63">
        <v>0</v>
      </c>
      <c r="F19" s="64"/>
      <c r="G19" s="31"/>
      <c r="H19" s="2" t="s">
        <v>126</v>
      </c>
      <c r="I19" s="63">
        <v>0</v>
      </c>
      <c r="J19" s="63"/>
      <c r="K19" s="63">
        <v>0</v>
      </c>
      <c r="L19" s="64"/>
    </row>
    <row r="20" spans="2:12" x14ac:dyDescent="0.35">
      <c r="B20" s="2" t="s">
        <v>141</v>
      </c>
      <c r="C20" s="63">
        <v>800000</v>
      </c>
      <c r="D20" s="63"/>
      <c r="E20" s="63">
        <v>0</v>
      </c>
      <c r="F20" s="64"/>
      <c r="G20" s="31"/>
      <c r="H20" s="2" t="s">
        <v>132</v>
      </c>
      <c r="I20" s="63">
        <v>0</v>
      </c>
      <c r="J20" s="63"/>
      <c r="K20" s="63">
        <v>0</v>
      </c>
      <c r="L20" s="64"/>
    </row>
    <row r="21" spans="2:12" x14ac:dyDescent="0.35">
      <c r="B21" s="2" t="s">
        <v>113</v>
      </c>
      <c r="C21" s="63">
        <v>0</v>
      </c>
      <c r="D21" s="63"/>
      <c r="E21" s="63">
        <v>0</v>
      </c>
      <c r="F21" s="64"/>
      <c r="G21" s="31"/>
      <c r="H21" s="2" t="s">
        <v>133</v>
      </c>
      <c r="I21" s="63">
        <v>0</v>
      </c>
      <c r="J21" s="63"/>
      <c r="K21" s="63">
        <v>0</v>
      </c>
      <c r="L21" s="64"/>
    </row>
    <row r="22" spans="2:12" x14ac:dyDescent="0.35">
      <c r="B22" s="2" t="s">
        <v>123</v>
      </c>
      <c r="C22" s="63">
        <v>0</v>
      </c>
      <c r="D22" s="63"/>
      <c r="E22" s="63">
        <v>0</v>
      </c>
      <c r="F22" s="64"/>
      <c r="G22" s="31"/>
      <c r="H22" s="2"/>
      <c r="I22" s="63">
        <v>0</v>
      </c>
      <c r="J22" s="63"/>
      <c r="K22" s="63">
        <v>0</v>
      </c>
      <c r="L22" s="64"/>
    </row>
    <row r="23" spans="2:12" x14ac:dyDescent="0.35">
      <c r="B23" s="2" t="s">
        <v>124</v>
      </c>
      <c r="C23" s="63">
        <v>0</v>
      </c>
      <c r="D23" s="63"/>
      <c r="E23" s="63">
        <v>0</v>
      </c>
      <c r="F23" s="64"/>
      <c r="G23" s="31"/>
      <c r="H23" s="2"/>
      <c r="I23" s="63"/>
      <c r="J23" s="63"/>
      <c r="K23" s="63"/>
      <c r="L23" s="64"/>
    </row>
    <row r="24" spans="2:12" x14ac:dyDescent="0.35">
      <c r="B24" s="2" t="s">
        <v>130</v>
      </c>
      <c r="C24" s="63">
        <v>710000</v>
      </c>
      <c r="D24" s="63"/>
      <c r="E24" s="63">
        <v>0</v>
      </c>
      <c r="F24" s="64"/>
      <c r="G24" s="31"/>
      <c r="H24" s="2"/>
      <c r="I24" s="63"/>
      <c r="J24" s="63"/>
      <c r="K24" s="63"/>
      <c r="L24" s="64"/>
    </row>
    <row r="25" spans="2:12" ht="15" thickBot="1" x14ac:dyDescent="0.4">
      <c r="B25" s="2" t="s">
        <v>131</v>
      </c>
      <c r="C25" s="63">
        <v>2000000</v>
      </c>
      <c r="D25" s="63"/>
      <c r="E25" s="63">
        <v>0</v>
      </c>
      <c r="F25" s="64"/>
      <c r="G25" s="31"/>
      <c r="H25" s="2"/>
      <c r="I25" s="89"/>
      <c r="J25" s="89"/>
      <c r="K25" s="89"/>
      <c r="L25" s="64"/>
    </row>
    <row r="26" spans="2:12" ht="15" thickBot="1" x14ac:dyDescent="0.4">
      <c r="B26" s="2" t="s">
        <v>134</v>
      </c>
      <c r="C26" s="64">
        <f>SUM(C18:C25)</f>
        <v>3520000</v>
      </c>
      <c r="D26" s="64">
        <f t="shared" ref="D26:E26" si="4">SUM(D18:D25)</f>
        <v>0</v>
      </c>
      <c r="E26" s="64">
        <f t="shared" si="4"/>
        <v>0</v>
      </c>
      <c r="F26" s="64">
        <f>C26+D26+E26</f>
        <v>3520000</v>
      </c>
      <c r="G26" s="31"/>
      <c r="H26" s="34" t="s">
        <v>135</v>
      </c>
      <c r="I26" s="90">
        <f>SUM(I18:I25)</f>
        <v>285100</v>
      </c>
      <c r="J26" s="90">
        <f t="shared" ref="J26:K26" si="5">SUM(J18:J25)</f>
        <v>0</v>
      </c>
      <c r="K26" s="90">
        <f t="shared" si="5"/>
        <v>0</v>
      </c>
      <c r="L26" s="85">
        <f>I26+J26+K26</f>
        <v>285100</v>
      </c>
    </row>
    <row r="27" spans="2:12" x14ac:dyDescent="0.35">
      <c r="G27" s="31"/>
    </row>
    <row r="28" spans="2:12" x14ac:dyDescent="0.35">
      <c r="B28" s="2" t="s">
        <v>136</v>
      </c>
      <c r="C28" s="64">
        <f>F15+F26</f>
        <v>4340143.92</v>
      </c>
      <c r="G28" s="31"/>
    </row>
    <row r="29" spans="2:12" x14ac:dyDescent="0.35">
      <c r="B29" s="2" t="s">
        <v>138</v>
      </c>
      <c r="C29" s="64">
        <f>L15+L26</f>
        <v>285101</v>
      </c>
      <c r="G29" s="31"/>
    </row>
    <row r="30" spans="2:12" x14ac:dyDescent="0.35">
      <c r="B30" s="2" t="s">
        <v>137</v>
      </c>
      <c r="C30" s="64">
        <f>C28/C29</f>
        <v>15.223180276463429</v>
      </c>
      <c r="G30" s="31"/>
    </row>
    <row r="31" spans="2:12" x14ac:dyDescent="0.35">
      <c r="B31" s="2" t="s">
        <v>140</v>
      </c>
      <c r="C31" s="64">
        <f>D15/L15</f>
        <v>102280.63</v>
      </c>
      <c r="G31" s="31"/>
    </row>
    <row r="32" spans="2:12" x14ac:dyDescent="0.35">
      <c r="G32" s="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FABF-4048-4F42-95F0-B324EF924DD7}">
  <dimension ref="A2:F26"/>
  <sheetViews>
    <sheetView workbookViewId="0">
      <selection activeCell="B6" sqref="B6"/>
    </sheetView>
  </sheetViews>
  <sheetFormatPr defaultRowHeight="14.5" x14ac:dyDescent="0.35"/>
  <cols>
    <col min="1" max="1" width="22.36328125" bestFit="1" customWidth="1"/>
    <col min="2" max="2" width="24.7265625" bestFit="1" customWidth="1"/>
    <col min="3" max="3" width="29.1796875" bestFit="1" customWidth="1"/>
    <col min="4" max="4" width="10.26953125" bestFit="1" customWidth="1"/>
    <col min="6" max="6" width="13.54296875" bestFit="1" customWidth="1"/>
  </cols>
  <sheetData>
    <row r="2" spans="1:6" x14ac:dyDescent="0.35">
      <c r="A2" s="37" t="s">
        <v>152</v>
      </c>
    </row>
    <row r="3" spans="1:6" ht="15" thickBot="1" x14ac:dyDescent="0.4"/>
    <row r="4" spans="1:6" x14ac:dyDescent="0.35">
      <c r="A4" s="38" t="s">
        <v>153</v>
      </c>
      <c r="B4" s="39">
        <v>26</v>
      </c>
      <c r="F4" s="40"/>
    </row>
    <row r="5" spans="1:6" x14ac:dyDescent="0.35">
      <c r="A5" s="41"/>
      <c r="B5" s="42"/>
    </row>
    <row r="6" spans="1:6" x14ac:dyDescent="0.35">
      <c r="A6" s="41" t="s">
        <v>154</v>
      </c>
      <c r="B6" s="43">
        <v>65</v>
      </c>
    </row>
    <row r="7" spans="1:6" ht="15" thickBot="1" x14ac:dyDescent="0.4">
      <c r="A7" s="41"/>
      <c r="B7" s="42"/>
    </row>
    <row r="8" spans="1:6" ht="15" thickBot="1" x14ac:dyDescent="0.4">
      <c r="A8" s="44" t="s">
        <v>155</v>
      </c>
      <c r="B8" s="59">
        <f>B6-B4</f>
        <v>39</v>
      </c>
      <c r="D8" s="54">
        <f>B8*12</f>
        <v>468</v>
      </c>
      <c r="E8" t="s">
        <v>156</v>
      </c>
    </row>
    <row r="11" spans="1:6" x14ac:dyDescent="0.35">
      <c r="A11" t="s">
        <v>157</v>
      </c>
    </row>
    <row r="13" spans="1:6" x14ac:dyDescent="0.35">
      <c r="A13" s="23" t="s">
        <v>158</v>
      </c>
      <c r="B13" s="23"/>
      <c r="C13" s="23" t="s">
        <v>164</v>
      </c>
      <c r="D13" s="23" t="s">
        <v>165</v>
      </c>
      <c r="E13" s="45" t="s">
        <v>159</v>
      </c>
      <c r="F13" s="46" t="s">
        <v>160</v>
      </c>
    </row>
    <row r="14" spans="1:6" x14ac:dyDescent="0.35">
      <c r="A14" s="2" t="s">
        <v>127</v>
      </c>
      <c r="B14" s="47"/>
      <c r="C14" s="60">
        <v>69999</v>
      </c>
      <c r="D14" s="48">
        <v>0.05</v>
      </c>
      <c r="E14" s="49">
        <v>6</v>
      </c>
      <c r="F14" s="57"/>
    </row>
    <row r="15" spans="1:6" x14ac:dyDescent="0.35">
      <c r="A15" s="2"/>
      <c r="B15" s="1"/>
      <c r="C15" s="1"/>
      <c r="D15" s="50"/>
      <c r="E15" s="51"/>
      <c r="F15" s="1"/>
    </row>
    <row r="16" spans="1:6" x14ac:dyDescent="0.35">
      <c r="A16" s="2" t="s">
        <v>161</v>
      </c>
      <c r="B16" s="1"/>
      <c r="C16" s="60"/>
      <c r="D16" s="48"/>
      <c r="E16" s="49"/>
      <c r="F16" s="57"/>
    </row>
    <row r="17" spans="1:6" x14ac:dyDescent="0.35">
      <c r="A17" s="2"/>
      <c r="B17" s="1"/>
      <c r="C17" s="1"/>
      <c r="D17" s="50"/>
      <c r="E17" s="51"/>
      <c r="F17" s="1"/>
    </row>
    <row r="18" spans="1:6" x14ac:dyDescent="0.35">
      <c r="A18" s="2" t="s">
        <v>128</v>
      </c>
      <c r="B18" s="1"/>
      <c r="C18" s="60"/>
      <c r="D18" s="48"/>
      <c r="E18" s="49"/>
      <c r="F18" s="57"/>
    </row>
    <row r="19" spans="1:6" x14ac:dyDescent="0.35">
      <c r="A19" s="2"/>
      <c r="B19" s="1"/>
      <c r="C19" s="1"/>
      <c r="D19" s="50"/>
      <c r="E19" s="51"/>
      <c r="F19" s="1"/>
    </row>
    <row r="20" spans="1:6" x14ac:dyDescent="0.35">
      <c r="A20" s="2" t="s">
        <v>162</v>
      </c>
      <c r="B20" s="1"/>
      <c r="C20" s="60"/>
      <c r="D20" s="48"/>
      <c r="E20" s="49"/>
      <c r="F20" s="57"/>
    </row>
    <row r="21" spans="1:6" x14ac:dyDescent="0.35">
      <c r="A21" s="2"/>
      <c r="B21" s="52"/>
      <c r="C21" s="52"/>
      <c r="D21" s="2"/>
      <c r="E21" s="2"/>
      <c r="F21" s="2"/>
    </row>
    <row r="22" spans="1:6" x14ac:dyDescent="0.35">
      <c r="A22" s="2" t="s">
        <v>163</v>
      </c>
      <c r="B22" s="53"/>
      <c r="C22" s="61"/>
      <c r="D22" s="6"/>
      <c r="E22" s="6"/>
      <c r="F22" s="58"/>
    </row>
    <row r="23" spans="1:6" x14ac:dyDescent="0.35">
      <c r="A23" s="2"/>
      <c r="B23" s="1"/>
      <c r="C23" s="1"/>
      <c r="D23" s="2"/>
      <c r="E23" s="2"/>
      <c r="F23" s="2"/>
    </row>
    <row r="24" spans="1:6" x14ac:dyDescent="0.35">
      <c r="A24" s="2" t="s">
        <v>163</v>
      </c>
      <c r="B24" s="2"/>
      <c r="C24" s="61"/>
      <c r="D24" s="6"/>
      <c r="E24" s="6"/>
      <c r="F24" s="22"/>
    </row>
    <row r="25" spans="1:6" x14ac:dyDescent="0.35">
      <c r="A25" s="2"/>
      <c r="B25" s="1"/>
      <c r="C25" s="1"/>
      <c r="D25" s="2"/>
      <c r="E25" s="2"/>
      <c r="F25" s="2"/>
    </row>
    <row r="26" spans="1:6" x14ac:dyDescent="0.35">
      <c r="A26" s="2" t="s">
        <v>163</v>
      </c>
      <c r="B26" s="2"/>
      <c r="C26" s="61"/>
      <c r="D26" s="6"/>
      <c r="E26" s="6"/>
      <c r="F26" s="2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2A3C-607D-4ED4-8D2E-273C57A30F17}">
  <dimension ref="A1:F5"/>
  <sheetViews>
    <sheetView workbookViewId="0">
      <selection activeCell="F3" sqref="F3"/>
    </sheetView>
  </sheetViews>
  <sheetFormatPr defaultRowHeight="14.5" x14ac:dyDescent="0.35"/>
  <cols>
    <col min="1" max="1" width="12.54296875" bestFit="1" customWidth="1"/>
    <col min="2" max="2" width="11.54296875" bestFit="1" customWidth="1"/>
    <col min="4" max="4" width="11.26953125" bestFit="1" customWidth="1"/>
    <col min="5" max="5" width="11.54296875" bestFit="1" customWidth="1"/>
  </cols>
  <sheetData>
    <row r="1" spans="1:6" x14ac:dyDescent="0.35">
      <c r="A1" s="32" t="s">
        <v>142</v>
      </c>
      <c r="D1" s="32" t="s">
        <v>144</v>
      </c>
    </row>
    <row r="3" spans="1:6" x14ac:dyDescent="0.35">
      <c r="A3" t="s">
        <v>143</v>
      </c>
      <c r="B3" s="35">
        <f>'CASHFLOW BUDGET 3'!B16</f>
        <v>950000</v>
      </c>
      <c r="C3" s="32"/>
      <c r="D3" t="s">
        <v>147</v>
      </c>
      <c r="E3" s="35">
        <f>'CASHFLOW BUDGET 3'!F66</f>
        <v>558666.66666666663</v>
      </c>
      <c r="F3" s="36">
        <f>(E3/B5)*100</f>
        <v>58.807017543859644</v>
      </c>
    </row>
    <row r="4" spans="1:6" x14ac:dyDescent="0.35">
      <c r="A4" t="s">
        <v>86</v>
      </c>
      <c r="B4" s="35">
        <f>'CASHFLOW BUDGET 3'!B23</f>
        <v>0</v>
      </c>
      <c r="C4" s="32"/>
      <c r="D4" t="s">
        <v>145</v>
      </c>
      <c r="E4" s="35">
        <f>'CASHFLOW BUDGET 3'!C28</f>
        <v>190000</v>
      </c>
      <c r="F4" s="16">
        <f>(E4/B5)*100</f>
        <v>20</v>
      </c>
    </row>
    <row r="5" spans="1:6" x14ac:dyDescent="0.35">
      <c r="A5" t="s">
        <v>85</v>
      </c>
      <c r="B5" s="35">
        <f>'CASHFLOW BUDGET 3'!B25</f>
        <v>950000</v>
      </c>
      <c r="C5" s="32"/>
      <c r="D5" t="s">
        <v>146</v>
      </c>
      <c r="E5" s="35">
        <f>'CASHFLOW BUDGET 3'!C33</f>
        <v>0</v>
      </c>
      <c r="F5" s="36">
        <f>(E5/B5)*100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 BUDGET 3</vt:lpstr>
      <vt:lpstr>Cashflow balance sheet 4</vt:lpstr>
      <vt:lpstr>goals sheet 1</vt:lpstr>
      <vt:lpstr>Personal Cashflow5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</dc:creator>
  <cp:lastModifiedBy>kalu aja</cp:lastModifiedBy>
  <dcterms:created xsi:type="dcterms:W3CDTF">2020-11-14T02:54:30Z</dcterms:created>
  <dcterms:modified xsi:type="dcterms:W3CDTF">2026-06-11T16:24:59Z</dcterms:modified>
</cp:coreProperties>
</file>